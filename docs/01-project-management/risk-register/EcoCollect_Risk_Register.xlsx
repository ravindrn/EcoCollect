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7e05596b234d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sk Register" sheetId="1" r:id="R04c4b2b325084da9"/>
    <x:sheet xmlns:r="http://schemas.openxmlformats.org/officeDocument/2006/relationships" name="Risk Summary" sheetId="2" r:id="R921f70a3c8924975"/>
    <x:sheet xmlns:r="http://schemas.openxmlformats.org/officeDocument/2006/relationships" name="Scoring Guide" sheetId="3" r:id="Rb249bda9e7a449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2F5597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4">
    <x:dxf>
      <x:fill>
        <x:patternFill patternType="solid">
          <x:bgColor rgb="FFC00000"/>
        </x:patternFill>
      </x:fill>
    </x:dxf>
    <x:dxf>
      <x:fill>
        <x:patternFill patternType="solid">
          <x:bgColor rgb="FFF4B183"/>
        </x:patternFill>
      </x:fill>
    </x:dxf>
    <x:dxf>
      <x:fill>
        <x:patternFill patternType="solid">
          <x:bgColor rgb="FFFFE699"/>
        </x:patternFill>
      </x:fill>
    </x:dxf>
    <x:dxf>
      <x:fill>
        <x:patternFill patternType="solid">
          <x:bgColor rgb="FFC6E0B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4eb6bfc4d1439e" /><Relationship Type="http://schemas.openxmlformats.org/officeDocument/2006/relationships/theme" Target="/xl/theme/theme1.xml" Id="R22240409a4de4dd9" /><Relationship Type="http://schemas.openxmlformats.org/officeDocument/2006/relationships/sharedStrings" Target="/xl/sharedStrings.xml" Id="Ra72bfc9485064217" /><Relationship Type="http://schemas.openxmlformats.org/officeDocument/2006/relationships/worksheet" Target="/xl/worksheets/sheet1.xml" Id="R04c4b2b325084da9" /><Relationship Type="http://schemas.openxmlformats.org/officeDocument/2006/relationships/worksheet" Target="/xl/worksheets/sheet2.xml" Id="R921f70a3c8924975" /><Relationship Type="http://schemas.openxmlformats.org/officeDocument/2006/relationships/worksheet" Target="/xl/worksheets/sheet3.xml" Id="Rb249bda9e7a4497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8bb4ddeff0a47f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Risks by Level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'Risk Summary'!$A$4:$A$7</c:f>
              <c:strCache>
                <c:ptCount val="0"/>
              </c:strCache>
            </c:strRef>
          </c:cat>
          <c:val>
            <c:numRef>
              <c:f>'Risk Summary'!$B$4:$B$7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8bb4ddeff0a47f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EcoCollectRiskTable" displayName="EcoCollectRiskTable" ref="A4:N22" headerRowCount="1" totalsRowCount="0" totalsRowShown="0">
  <x:tableColumns count="14">
    <x:tableColumn id="1" name="Risk ID"/>
    <x:tableColumn id="2" name="Category"/>
    <x:tableColumn id="3" name="Risk Description"/>
    <x:tableColumn id="4" name="Cause / Trigger"/>
    <x:tableColumn id="5" name="Potential Impact"/>
    <x:tableColumn id="6" name="Likelihood (1-5)"/>
    <x:tableColumn id="7" name="Impact (1-5)"/>
    <x:tableColumn id="8" name="Risk Score"/>
    <x:tableColumn id="9" name="Risk Level"/>
    <x:tableColumn id="10" name="Risk Owner"/>
    <x:tableColumn id="11" name="Mitigation / Preventive Action"/>
    <x:tableColumn id="12" name="Contingency / Response"/>
    <x:tableColumn id="13" name="Status"/>
    <x:tableColumn id="14" name="Review 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25db5e6a5974d4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05de5c869e43491e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34" hidden="0" customWidth="1"/>
    <x:col min="4" max="4" width="30" hidden="0" customWidth="1"/>
    <x:col min="5" max="5" width="32" hidden="0" customWidth="1"/>
    <x:col min="6" max="6" width="13" hidden="0" customWidth="1"/>
    <x:col min="7" max="7" width="12" hidden="0" customWidth="1"/>
    <x:col min="8" max="8" width="11" hidden="0" customWidth="1"/>
    <x:col min="9" max="9" width="12" hidden="0" customWidth="1"/>
    <x:col min="10" max="10" width="20" hidden="0" customWidth="1"/>
    <x:col min="11" max="11" width="36" hidden="0" customWidth="1"/>
    <x:col min="12" max="12" width="36" hidden="0" customWidth="1"/>
    <x:col min="13" max="13" width="13" hidden="0" customWidth="1"/>
    <x:col min="14" max="14" width="14" hidden="0" customWidth="1"/>
  </x:cols>
  <x:sheetData>
    <x:row r="1">
      <x:c r="A1" s="4" t="str">
        <x:v>EcoCollect – Project Risk Register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>
      <x:c r="A2" s="9" t="str">
        <x:v>AI-Powered Smart Waste Management System | Baseline: October 2026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>
      <x:c r="A4" s="15" t="str">
        <x:v>Risk ID</x:v>
      </x:c>
      <x:c r="B4" s="15" t="str">
        <x:v>Category</x:v>
      </x:c>
      <x:c r="C4" s="15" t="str">
        <x:v>Risk Description</x:v>
      </x:c>
      <x:c r="D4" s="15" t="str">
        <x:v>Cause / Trigger</x:v>
      </x:c>
      <x:c r="E4" s="15" t="str">
        <x:v>Potential Impact</x:v>
      </x:c>
      <x:c r="F4" s="15" t="str">
        <x:v>Likelihood (1-5)</x:v>
      </x:c>
      <x:c r="G4" s="15" t="str">
        <x:v>Impact (1-5)</x:v>
      </x:c>
      <x:c r="H4" s="15" t="str">
        <x:v>Risk Score</x:v>
      </x:c>
      <x:c r="I4" s="15" t="str">
        <x:v>Risk Level</x:v>
      </x:c>
      <x:c r="J4" s="15" t="str">
        <x:v>Risk Owner</x:v>
      </x:c>
      <x:c r="K4" s="15" t="str">
        <x:v>Mitigation / Preventive Action</x:v>
      </x:c>
      <x:c r="L4" s="15" t="str">
        <x:v>Contingency / Response</x:v>
      </x:c>
      <x:c r="M4" s="15" t="str">
        <x:v>Status</x:v>
      </x:c>
      <x:c r="N4" s="15" t="str">
        <x:v>Review Date</x:v>
      </x:c>
    </x:row>
    <x:row r="5">
      <x:c r="A5" s="20" t="str">
        <x:v>R-01</x:v>
      </x:c>
      <x:c r="B5" s="20" t="str">
        <x:v>External Integration</x:v>
      </x:c>
      <x:c r="C5" s="20" t="str">
        <x:v>Authorized GPS provider API/data may not be available.</x:v>
      </x:c>
      <x:c r="D5" s="20" t="str">
        <x:v>Provider restrictions or permission delays.</x:v>
      </x:c>
      <x:c r="E5" s="20" t="str">
        <x:v>Production GPS integration may not be completed.</x:v>
      </x:c>
      <x:c r="F5" s="20" t="n">
        <x:v>4</x:v>
      </x:c>
      <x:c r="G5" s="20" t="n">
        <x:v>4</x:v>
      </x:c>
      <x:c r="H5" s="20" t="n">
        <x:f>F5*G5</x:f>
        <x:v>16</x:v>
      </x:c>
      <x:c r="I5" s="20" t="str">
        <x:f>IF(H5&gt;=20,"Critical",IF(H5&gt;=12,"High",IF(H5&gt;=6,"Medium","Low")))</x:f>
        <x:v>High</x:v>
      </x:c>
      <x:c r="J5" s="20" t="str">
        <x:v>Ravindu Nadeesha</x:v>
      </x:c>
      <x:c r="K5" s="20" t="str">
        <x:v>Investigate authorization early; document interface requirements.</x:v>
      </x:c>
      <x:c r="L5" s="20" t="str">
        <x:v>Use an independent academic GPS prototype.</x:v>
      </x:c>
      <x:c r="M5" s="20" t="str">
        <x:v>Open</x:v>
      </x:c>
      <x:c r="N5" s="20" t="str">
        <x:v>2026-10-31</x:v>
      </x:c>
    </x:row>
    <x:row r="6">
      <x:c r="A6" s="20" t="str">
        <x:v>R-02</x:v>
      </x:c>
      <x:c r="B6" s="20" t="str">
        <x:v>AI / Data</x:v>
      </x:c>
      <x:c r="C6" s="20" t="str">
        <x:v>Waste data may be insufficient or low quality.</x:v>
      </x:c>
      <x:c r="D6" s="20" t="str">
        <x:v>Missing/inconsistent records or limited history.</x:v>
      </x:c>
      <x:c r="E6" s="20" t="str">
        <x:v>Prediction quality may be limited.</x:v>
      </x:c>
      <x:c r="F6" s="20" t="n">
        <x:v>4</x:v>
      </x:c>
      <x:c r="G6" s="20" t="n">
        <x:v>5</x:v>
      </x:c>
      <x:c r="H6" s="20" t="n">
        <x:f>F6*G6</x:f>
        <x:v>20</x:v>
      </x:c>
      <x:c r="I6" s="20" t="str">
        <x:f>IF(H6&gt;=20,"Critical",IF(H6&gt;=12,"High",IF(H6&gt;=6,"Medium","Low")))</x:f>
        <x:v>Critical</x:v>
      </x:c>
      <x:c r="J6" s="20" t="str">
        <x:v>Mohommed Rifaa</x:v>
      </x:c>
      <x:c r="K6" s="20" t="str">
        <x:v>Profile, clean and validate data early; establish baseline models.</x:v>
      </x:c>
      <x:c r="L6" s="20" t="str">
        <x:v>Use the best defensible model and document limitations.</x:v>
      </x:c>
      <x:c r="M6" s="20" t="str">
        <x:v>Open</x:v>
      </x:c>
      <x:c r="N6" s="20" t="str">
        <x:v>2026-10-31</x:v>
      </x:c>
    </x:row>
    <x:row r="7">
      <x:c r="A7" s="20" t="str">
        <x:v>R-03</x:v>
      </x:c>
      <x:c r="B7" s="20" t="str">
        <x:v>AI / IoT</x:v>
      </x:c>
      <x:c r="C7" s="20" t="str">
        <x:v>SmartSort may misclassify waste items.</x:v>
      </x:c>
      <x:c r="D7" s="20" t="str">
        <x:v>Limited dataset, lighting variation or unsupported items.</x:v>
      </x:c>
      <x:c r="E7" s="20" t="str">
        <x:v>Incorrect compartment selection.</x:v>
      </x:c>
      <x:c r="F7" s="20" t="n">
        <x:v>4</x:v>
      </x:c>
      <x:c r="G7" s="20" t="n">
        <x:v>4</x:v>
      </x:c>
      <x:c r="H7" s="20" t="n">
        <x:f>F7*G7</x:f>
        <x:v>16</x:v>
      </x:c>
      <x:c r="I7" s="20" t="str">
        <x:f>IF(H7&gt;=20,"Critical",IF(H7&gt;=12,"High",IF(H7&gt;=6,"Medium","Low")))</x:f>
        <x:v>High</x:v>
      </x:c>
      <x:c r="J7" s="20" t="str">
        <x:v>Ravindu Nadeesha</x:v>
      </x:c>
      <x:c r="K7" s="20" t="str">
        <x:v>Controlled lighting, fixed camera, representative data and confidence threshold.</x:v>
      </x:c>
      <x:c r="L7" s="20" t="str">
        <x:v>Use Unknown/Reject handling for low confidence.</x:v>
      </x:c>
      <x:c r="M7" s="20" t="str">
        <x:v>Open</x:v>
      </x:c>
      <x:c r="N7" s="20" t="str">
        <x:v>2026-10-31</x:v>
      </x:c>
    </x:row>
    <x:row r="8">
      <x:c r="A8" s="20" t="str">
        <x:v>R-04</x:v>
      </x:c>
      <x:c r="B8" s="20" t="str">
        <x:v>Hardware</x:v>
      </x:c>
      <x:c r="C8" s="20" t="str">
        <x:v>ESP32/camera/sensors/servo may fail or be unavailable.</x:v>
      </x:c>
      <x:c r="D8" s="20" t="str">
        <x:v>Defects, procurement delay, unstable power or wiring.</x:v>
      </x:c>
      <x:c r="E8" s="20" t="str">
        <x:v>SmartSort development/demo may be delayed.</x:v>
      </x:c>
      <x:c r="F8" s="20" t="n">
        <x:v>3</x:v>
      </x:c>
      <x:c r="G8" s="20" t="n">
        <x:v>4</x:v>
      </x:c>
      <x:c r="H8" s="20" t="n">
        <x:f>F8*G8</x:f>
        <x:v>12</x:v>
      </x:c>
      <x:c r="I8" s="20" t="str">
        <x:f>IF(H8&gt;=20,"Critical",IF(H8&gt;=12,"High",IF(H8&gt;=6,"Medium","Low")))</x:f>
        <x:v>High</x:v>
      </x:c>
      <x:c r="J8" s="20" t="str">
        <x:v>Ravindu Nadeesha</x:v>
      </x:c>
      <x:c r="K8" s="20" t="str">
        <x:v>Procure early; use common parts; bench-test modules independently.</x:v>
      </x:c>
      <x:c r="L8" s="20" t="str">
        <x:v>Keep spare critical parts and demonstration evidence.</x:v>
      </x:c>
      <x:c r="M8" s="20" t="str">
        <x:v>Open</x:v>
      </x:c>
      <x:c r="N8" s="20" t="str">
        <x:v>2026-10-31</x:v>
      </x:c>
    </x:row>
    <x:row r="9">
      <x:c r="A9" s="20" t="str">
        <x:v>R-05</x:v>
      </x:c>
      <x:c r="B9" s="20" t="str">
        <x:v>Integration</x:v>
      </x:c>
      <x:c r="C9" s="20" t="str">
        <x:v>System modules may not integrate smoothly.</x:v>
      </x:c>
      <x:c r="D9" s="20" t="str">
        <x:v>Unclear contracts, inconsistent payloads or late integration.</x:v>
      </x:c>
      <x:c r="E9" s="20" t="str">
        <x:v>End-to-end prototype may be unstable.</x:v>
      </x:c>
      <x:c r="F9" s="20" t="n">
        <x:v>4</x:v>
      </x:c>
      <x:c r="G9" s="20" t="n">
        <x:v>5</x:v>
      </x:c>
      <x:c r="H9" s="20" t="n">
        <x:f>F9*G9</x:f>
        <x:v>20</x:v>
      </x:c>
      <x:c r="I9" s="20" t="str">
        <x:f>IF(H9&gt;=20,"Critical",IF(H9&gt;=12,"High",IF(H9&gt;=6,"Medium","Low")))</x:f>
        <x:v>Critical</x:v>
      </x:c>
      <x:c r="J9" s="20" t="str">
        <x:v>Ravindu Nadeesha</x:v>
      </x:c>
      <x:c r="K9" s="20" t="str">
        <x:v>Define REST/MQTT contracts early and integrate incrementally.</x:v>
      </x:c>
      <x:c r="L9" s="20" t="str">
        <x:v>Freeze interfaces and prioritize core workflows.</x:v>
      </x:c>
      <x:c r="M9" s="20" t="str">
        <x:v>Open</x:v>
      </x:c>
      <x:c r="N9" s="20" t="str">
        <x:v>2026-10-31</x:v>
      </x:c>
    </x:row>
    <x:row r="10">
      <x:c r="A10" s="20" t="str">
        <x:v>R-06</x:v>
      </x:c>
      <x:c r="B10" s="20" t="str">
        <x:v>Schedule</x:v>
      </x:c>
      <x:c r="C10" s="20" t="str">
        <x:v>Development may slip beyond 31 December 2026.</x:v>
      </x:c>
      <x:c r="D10" s="20" t="str">
        <x:v>Underestimation, dependencies, defects or scope growth.</x:v>
      </x:c>
      <x:c r="E10" s="20" t="str">
        <x:v>January preparation time may be lost.</x:v>
      </x:c>
      <x:c r="F10" s="20" t="n">
        <x:v>4</x:v>
      </x:c>
      <x:c r="G10" s="20" t="n">
        <x:v>5</x:v>
      </x:c>
      <x:c r="H10" s="20" t="n">
        <x:f>F10*G10</x:f>
        <x:v>20</x:v>
      </x:c>
      <x:c r="I10" s="20" t="str">
        <x:f>IF(H10&gt;=20,"Critical",IF(H10&gt;=12,"High",IF(H10&gt;=6,"Medium","Low")))</x:f>
        <x:v>Critical</x:v>
      </x:c>
      <x:c r="J10" s="20" t="str">
        <x:v>Ravindu Nadeesha</x:v>
      </x:c>
      <x:c r="K10" s="20" t="str">
        <x:v>Track milestones weekly; parallelize work; protect core scope.</x:v>
      </x:c>
      <x:c r="L10" s="20" t="str">
        <x:v>Drop optional features and stabilize core demonstration.</x:v>
      </x:c>
      <x:c r="M10" s="20" t="str">
        <x:v>Open</x:v>
      </x:c>
      <x:c r="N10" s="20" t="str">
        <x:v>2026-10-31</x:v>
      </x:c>
    </x:row>
    <x:row r="11">
      <x:c r="A11" s="20" t="str">
        <x:v>R-07</x:v>
      </x:c>
      <x:c r="B11" s="20" t="str">
        <x:v>Team</x:v>
      </x:c>
      <x:c r="C11" s="20" t="str">
        <x:v>Workload/knowledge may become concentrated in one member.</x:v>
      </x:c>
      <x:c r="D11" s="20" t="str">
        <x:v>Uneven tasks, absences or siloed ownership.</x:v>
      </x:c>
      <x:c r="E11" s="20" t="str">
        <x:v>Bottlenecks and single-person dependency.</x:v>
      </x:c>
      <x:c r="F11" s="20" t="n">
        <x:v>3</x:v>
      </x:c>
      <x:c r="G11" s="20" t="n">
        <x:v>4</x:v>
      </x:c>
      <x:c r="H11" s="20" t="n">
        <x:f>F11*G11</x:f>
        <x:v>12</x:v>
      </x:c>
      <x:c r="I11" s="20" t="str">
        <x:f>IF(H11&gt;=20,"Critical",IF(H11&gt;=12,"High",IF(H11&gt;=6,"Medium","Low")))</x:f>
        <x:v>High</x:v>
      </x:c>
      <x:c r="J11" s="20" t="str">
        <x:v>Ravindu Nadeesha</x:v>
      </x:c>
      <x:c r="K11" s="20" t="str">
        <x:v>Cross-review and share integration/testing/documentation.</x:v>
      </x:c>
      <x:c r="L11" s="20" t="str">
        <x:v>Reassign Jira work and pair members on critical modules.</x:v>
      </x:c>
      <x:c r="M11" s="20" t="str">
        <x:v>Open</x:v>
      </x:c>
      <x:c r="N11" s="20" t="str">
        <x:v>2026-10-31</x:v>
      </x:c>
    </x:row>
    <x:row r="12">
      <x:c r="A12" s="20" t="str">
        <x:v>R-08</x:v>
      </x:c>
      <x:c r="B12" s="20" t="str">
        <x:v>Infrastructure</x:v>
      </x:c>
      <x:c r="C12" s="20" t="str">
        <x:v>Network instability may interrupt communication.</x:v>
      </x:c>
      <x:c r="D12" s="20" t="str">
        <x:v>Weak Wi-Fi, configuration or service downtime.</x:v>
      </x:c>
      <x:c r="E12" s="20" t="str">
        <x:v>Telemetry/classification/app operations may fail.</x:v>
      </x:c>
      <x:c r="F12" s="20" t="n">
        <x:v>3</x:v>
      </x:c>
      <x:c r="G12" s="20" t="n">
        <x:v>3</x:v>
      </x:c>
      <x:c r="H12" s="20" t="n">
        <x:f>F12*G12</x:f>
        <x:v>9</x:v>
      </x:c>
      <x:c r="I12" s="20" t="str">
        <x:f>IF(H12&gt;=20,"Critical",IF(H12&gt;=12,"High",IF(H12&gt;=6,"Medium","Low")))</x:f>
        <x:v>Medium</x:v>
      </x:c>
      <x:c r="J12" s="20" t="str">
        <x:v>Ravindu Nadeesha</x:v>
      </x:c>
      <x:c r="K12" s="20" t="str">
        <x:v>Test demo network and implement timeout/error states.</x:v>
      </x:c>
      <x:c r="L12" s="20" t="str">
        <x:v>Use controlled local network/demo configuration.</x:v>
      </x:c>
      <x:c r="M12" s="20" t="str">
        <x:v>Open</x:v>
      </x:c>
      <x:c r="N12" s="20" t="str">
        <x:v>2026-10-31</x:v>
      </x:c>
    </x:row>
    <x:row r="13">
      <x:c r="A13" s="20" t="str">
        <x:v>R-09</x:v>
      </x:c>
      <x:c r="B13" s="20" t="str">
        <x:v>Security</x:v>
      </x:c>
      <x:c r="C13" s="20" t="str">
        <x:v>Secrets or user data may be exposed.</x:v>
      </x:c>
      <x:c r="D13" s="20" t="str">
        <x:v>Secrets in Git, weak authorization or validation.</x:v>
      </x:c>
      <x:c r="E13" s="20" t="str">
        <x:v>Security/data exposure risk.</x:v>
      </x:c>
      <x:c r="F13" s="20" t="n">
        <x:v>3</x:v>
      </x:c>
      <x:c r="G13" s="20" t="n">
        <x:v>5</x:v>
      </x:c>
      <x:c r="H13" s="20" t="n">
        <x:f>F13*G13</x:f>
        <x:v>15</x:v>
      </x:c>
      <x:c r="I13" s="20" t="str">
        <x:f>IF(H13&gt;=20,"Critical",IF(H13&gt;=12,"High",IF(H13&gt;=6,"Medium","Low")))</x:f>
        <x:v>High</x:v>
      </x:c>
      <x:c r="J13" s="20" t="str">
        <x:v>Mahela Yapa</x:v>
      </x:c>
      <x:c r="K13" s="20" t="str">
        <x:v>Use .env, JWT authorization, password hashing, validation and review.</x:v>
      </x:c>
      <x:c r="L13" s="20" t="str">
        <x:v>Rotate secrets, patch endpoints and retest.</x:v>
      </x:c>
      <x:c r="M13" s="20" t="str">
        <x:v>Open</x:v>
      </x:c>
      <x:c r="N13" s="20" t="str">
        <x:v>2026-10-31</x:v>
      </x:c>
    </x:row>
    <x:row r="14">
      <x:c r="A14" s="20" t="str">
        <x:v>R-10</x:v>
      </x:c>
      <x:c r="B14" s="20" t="str">
        <x:v>Stakeholder</x:v>
      </x:c>
      <x:c r="C14" s="20" t="str">
        <x:v>Stakeholders may be unavailable for validation.</x:v>
      </x:c>
      <x:c r="D14" s="20" t="str">
        <x:v>Scheduling conflicts or delayed responses.</x:v>
      </x:c>
      <x:c r="E14" s="20" t="str">
        <x:v>Decisions may be delayed or assumption-based.</x:v>
      </x:c>
      <x:c r="F14" s="20" t="n">
        <x:v>3</x:v>
      </x:c>
      <x:c r="G14" s="20" t="n">
        <x:v>3</x:v>
      </x:c>
      <x:c r="H14" s="20" t="n">
        <x:f>F14*G14</x:f>
        <x:v>9</x:v>
      </x:c>
      <x:c r="I14" s="20" t="str">
        <x:f>IF(H14&gt;=20,"Critical",IF(H14&gt;=12,"High",IF(H14&gt;=6,"Medium","Low")))</x:f>
        <x:v>Medium</x:v>
      </x:c>
      <x:c r="J14" s="20" t="str">
        <x:v>Ravindu Nadeesha</x:v>
      </x:c>
      <x:c r="K14" s="20" t="str">
        <x:v>Request focused reviews early and record assumptions.</x:v>
      </x:c>
      <x:c r="L14" s="20" t="str">
        <x:v>Proceed with documented supervisor/team-approved assumptions.</x:v>
      </x:c>
      <x:c r="M14" s="20" t="str">
        <x:v>Open</x:v>
      </x:c>
      <x:c r="N14" s="20" t="str">
        <x:v>2026-10-31</x:v>
      </x:c>
    </x:row>
    <x:row r="15">
      <x:c r="A15" s="20" t="str">
        <x:v>R-11</x:v>
      </x:c>
      <x:c r="B15" s="20" t="str">
        <x:v>Scope</x:v>
      </x:c>
      <x:c r="C15" s="20" t="str">
        <x:v>Scope creep may exceed available time/resources.</x:v>
      </x:c>
      <x:c r="D15" s="20" t="str">
        <x:v>New ideas or production-level expectations.</x:v>
      </x:c>
      <x:c r="E15" s="20" t="str">
        <x:v>Core quality and deadline threatened.</x:v>
      </x:c>
      <x:c r="F15" s="20" t="n">
        <x:v>4</x:v>
      </x:c>
      <x:c r="G15" s="20" t="n">
        <x:v>4</x:v>
      </x:c>
      <x:c r="H15" s="20" t="n">
        <x:f>F15*G15</x:f>
        <x:v>16</x:v>
      </x:c>
      <x:c r="I15" s="20" t="str">
        <x:f>IF(H15&gt;=20,"Critical",IF(H15&gt;=12,"High",IF(H15&gt;=6,"Medium","Low")))</x:f>
        <x:v>High</x:v>
      </x:c>
      <x:c r="J15" s="20" t="str">
        <x:v>Ravindu Nadeesha</x:v>
      </x:c>
      <x:c r="K15" s="20" t="str">
        <x:v>Baseline WBS/SRS and use change control.</x:v>
      </x:c>
      <x:c r="L15" s="20" t="str">
        <x:v>Move non-essential work to Future Enhancements.</x:v>
      </x:c>
      <x:c r="M15" s="20" t="str">
        <x:v>Open</x:v>
      </x:c>
      <x:c r="N15" s="20" t="str">
        <x:v>2026-10-31</x:v>
      </x:c>
    </x:row>
    <x:row r="16">
      <x:c r="A16" s="20" t="str">
        <x:v>R-12</x:v>
      </x:c>
      <x:c r="B16" s="20" t="str">
        <x:v>Deployment</x:v>
      </x:c>
      <x:c r="C16" s="20" t="str">
        <x:v>Deployment/configuration may fail.</x:v>
      </x:c>
      <x:c r="D16" s="20" t="str">
        <x:v>Environment differences, migrations or port conflicts.</x:v>
      </x:c>
      <x:c r="E16" s="20" t="str">
        <x:v>System may not be reproducible for demo.</x:v>
      </x:c>
      <x:c r="F16" s="20" t="n">
        <x:v>3</x:v>
      </x:c>
      <x:c r="G16" s="20" t="n">
        <x:v>5</x:v>
      </x:c>
      <x:c r="H16" s="20" t="n">
        <x:f>F16*G16</x:f>
        <x:v>15</x:v>
      </x:c>
      <x:c r="I16" s="20" t="str">
        <x:f>IF(H16&gt;=20,"Critical",IF(H16&gt;=12,"High",IF(H16&gt;=6,"Medium","Low")))</x:f>
        <x:v>High</x:v>
      </x:c>
      <x:c r="J16" s="20" t="str">
        <x:v>Mahela Yapa</x:v>
      </x:c>
      <x:c r="K16" s="20" t="str">
        <x:v>Build Docker Compose early and document setup/migrations.</x:v>
      </x:c>
      <x:c r="L16" s="20" t="str">
        <x:v>Maintain a tested local demo environment and backup.</x:v>
      </x:c>
      <x:c r="M16" s="20" t="str">
        <x:v>Open</x:v>
      </x:c>
      <x:c r="N16" s="20" t="str">
        <x:v>2026-10-31</x:v>
      </x:c>
    </x:row>
    <x:row r="17">
      <x:c r="A17" s="20" t="str">
        <x:v>R-13</x:v>
      </x:c>
      <x:c r="B17" s="20" t="str">
        <x:v>Quality</x:v>
      </x:c>
      <x:c r="C17" s="20" t="str">
        <x:v>Insufficient testing may leave critical defects.</x:v>
      </x:c>
      <x:c r="D17" s="20" t="str">
        <x:v>Testing deferred too late or incomplete cases.</x:v>
      </x:c>
      <x:c r="E17" s="20" t="str">
        <x:v>Failures during evaluation.</x:v>
      </x:c>
      <x:c r="F17" s="20" t="n">
        <x:v>4</x:v>
      </x:c>
      <x:c r="G17" s="20" t="n">
        <x:v>5</x:v>
      </x:c>
      <x:c r="H17" s="20" t="n">
        <x:f>F17*G17</x:f>
        <x:v>20</x:v>
      </x:c>
      <x:c r="I17" s="20" t="str">
        <x:f>IF(H17&gt;=20,"Critical",IF(H17&gt;=12,"High",IF(H17&gt;=6,"Medium","Low")))</x:f>
        <x:v>Critical</x:v>
      </x:c>
      <x:c r="J17" s="20" t="str">
        <x:v>Ravindu Nadeesha</x:v>
      </x:c>
      <x:c r="K17" s="20" t="str">
        <x:v>Test continuously and reserve December for system QA.</x:v>
      </x:c>
      <x:c r="L17" s="20" t="str">
        <x:v>Freeze features and prioritize critical defect regression.</x:v>
      </x:c>
      <x:c r="M17" s="20" t="str">
        <x:v>Open</x:v>
      </x:c>
      <x:c r="N17" s="20" t="str">
        <x:v>2026-10-31</x:v>
      </x:c>
    </x:row>
    <x:row r="18">
      <x:c r="A18" s="20" t="str">
        <x:v>R-14</x:v>
      </x:c>
      <x:c r="B18" s="20" t="str">
        <x:v>Version Control</x:v>
      </x:c>
      <x:c r="C18" s="20" t="str">
        <x:v>Git conflicts or poor branch practices may disrupt work.</x:v>
      </x:c>
      <x:c r="D18" s="20" t="str">
        <x:v>Direct main changes or large unreviewed merges.</x:v>
      </x:c>
      <x:c r="E18" s="20" t="str">
        <x:v>Lost work and integration delays.</x:v>
      </x:c>
      <x:c r="F18" s="20" t="n">
        <x:v>3</x:v>
      </x:c>
      <x:c r="G18" s="20" t="n">
        <x:v>4</x:v>
      </x:c>
      <x:c r="H18" s="20" t="n">
        <x:f>F18*G18</x:f>
        <x:v>12</x:v>
      </x:c>
      <x:c r="I18" s="20" t="str">
        <x:f>IF(H18&gt;=20,"Critical",IF(H18&gt;=12,"High",IF(H18&gt;=6,"Medium","Low")))</x:f>
        <x:v>High</x:v>
      </x:c>
      <x:c r="J18" s="20" t="str">
        <x:v>Ishara Edirisinghe</x:v>
      </x:c>
      <x:c r="K18" s="20" t="str">
        <x:v>Use feature branches, PRs, reviews and Jira-linked commits.</x:v>
      </x:c>
      <x:c r="L18" s="20" t="str">
        <x:v>Revert/recover from Git history and resolve before merge.</x:v>
      </x:c>
      <x:c r="M18" s="20" t="str">
        <x:v>Open</x:v>
      </x:c>
      <x:c r="N18" s="20" t="str">
        <x:v>2026-10-31</x:v>
      </x:c>
    </x:row>
    <x:row r="19">
      <x:c r="A19" s="20" t="str">
        <x:v>R-15</x:v>
      </x:c>
      <x:c r="B19" s="20" t="str">
        <x:v>Presentation</x:v>
      </x:c>
      <x:c r="C19" s="20" t="str">
        <x:v>Final demonstration may fail.</x:v>
      </x:c>
      <x:c r="D19" s="20" t="str">
        <x:v>Hardware/network/service/data dependency failures.</x:v>
      </x:c>
      <x:c r="E19" s="20" t="str">
        <x:v>Completed work may not be demonstrated effectively.</x:v>
      </x:c>
      <x:c r="F19" s="20" t="n">
        <x:v>3</x:v>
      </x:c>
      <x:c r="G19" s="20" t="n">
        <x:v>5</x:v>
      </x:c>
      <x:c r="H19" s="20" t="n">
        <x:f>F19*G19</x:f>
        <x:v>15</x:v>
      </x:c>
      <x:c r="I19" s="20" t="str">
        <x:f>IF(H19&gt;=20,"Critical",IF(H19&gt;=12,"High",IF(H19&gt;=6,"Medium","Low")))</x:f>
        <x:v>High</x:v>
      </x:c>
      <x:c r="J19" s="20" t="str">
        <x:v>Ravindu Nadeesha</x:v>
      </x:c>
      <x:c r="K19" s="20" t="str">
        <x:v>Rehearse stable demo; verify services; capture evidence.</x:v>
      </x:c>
      <x:c r="L19" s="20" t="str">
        <x:v>Use prepared screenshots/video/fallback material.</x:v>
      </x:c>
      <x:c r="M19" s="20" t="str">
        <x:v>Open</x:v>
      </x:c>
      <x:c r="N19" s="20" t="str">
        <x:v>2026-10-31</x:v>
      </x:c>
    </x:row>
    <x:row r="20">
      <x:c r="A20" s="20" t="str">
        <x:v>R-16</x:v>
      </x:c>
      <x:c r="B20" s="20" t="str">
        <x:v>AI / Route</x:v>
      </x:c>
      <x:c r="C20" s="20" t="str">
        <x:v>Route optimization may be overcomplicated too early.</x:v>
      </x:c>
      <x:c r="D20" s="20" t="str">
        <x:v>Too many constraints before stable baseline.</x:v>
      </x:c>
      <x:c r="E20" s="20" t="str">
        <x:v>Algorithm/integration delay.</x:v>
      </x:c>
      <x:c r="F20" s="20" t="n">
        <x:v>3</x:v>
      </x:c>
      <x:c r="G20" s="20" t="n">
        <x:v>4</x:v>
      </x:c>
      <x:c r="H20" s="20" t="n">
        <x:f>F20*G20</x:f>
        <x:v>12</x:v>
      </x:c>
      <x:c r="I20" s="20" t="str">
        <x:f>IF(H20&gt;=20,"Critical",IF(H20&gt;=12,"High",IF(H20&gt;=6,"Medium","Low")))</x:f>
        <x:v>High</x:v>
      </x:c>
      <x:c r="J20" s="20" t="str">
        <x:v>Chathuranga Gayashan</x:v>
      </x:c>
      <x:c r="K20" s="20" t="str">
        <x:v>Implement distance-minimizing baseline first.</x:v>
      </x:c>
      <x:c r="L20" s="20" t="str">
        <x:v>Return to stable baseline for final prototype.</x:v>
      </x:c>
      <x:c r="M20" s="20" t="str">
        <x:v>Open</x:v>
      </x:c>
      <x:c r="N20" s="20" t="str">
        <x:v>2026-10-31</x:v>
      </x:c>
    </x:row>
    <x:row r="21">
      <x:c r="A21" s="20" t="str">
        <x:v>R-17</x:v>
      </x:c>
      <x:c r="B21" s="20" t="str">
        <x:v>AI / Vision</x:v>
      </x:c>
      <x:c r="C21" s="20" t="str">
        <x:v>Vision dataset may not represent local waste.</x:v>
      </x:c>
      <x:c r="D21" s="20" t="str">
        <x:v>Small/imbalanced/non-local dataset.</x:v>
      </x:c>
      <x:c r="E21" s="20" t="str">
        <x:v>Physical prototype accuracy may be poor.</x:v>
      </x:c>
      <x:c r="F21" s="20" t="n">
        <x:v>4</x:v>
      </x:c>
      <x:c r="G21" s="20" t="n">
        <x:v>4</x:v>
      </x:c>
      <x:c r="H21" s="20" t="n">
        <x:f>F21*G21</x:f>
        <x:v>16</x:v>
      </x:c>
      <x:c r="I21" s="20" t="str">
        <x:f>IF(H21&gt;=20,"Critical",IF(H21&gt;=12,"High",IF(H21&gt;=6,"Medium","Low")))</x:f>
        <x:v>High</x:v>
      </x:c>
      <x:c r="J21" s="20" t="str">
        <x:v>Ravindu Nadeesha</x:v>
      </x:c>
      <x:c r="K21" s="20" t="str">
        <x:v>Collect representative local images and separate train/validation/test.</x:v>
      </x:c>
      <x:c r="L21" s="20" t="str">
        <x:v>Narrow supported examples and report limitations.</x:v>
      </x:c>
      <x:c r="M21" s="20" t="str">
        <x:v>Open</x:v>
      </x:c>
      <x:c r="N21" s="20" t="str">
        <x:v>2026-10-31</x:v>
      </x:c>
    </x:row>
    <x:row r="22">
      <x:c r="A22" s="20" t="str">
        <x:v>R-18</x:v>
      </x:c>
      <x:c r="B22" s="20" t="str">
        <x:v>Database / Geospatial</x:v>
      </x:c>
      <x:c r="C22" s="20" t="str">
        <x:v>Poor coordinates/CRS may affect maps and routes.</x:v>
      </x:c>
      <x:c r="D22" s="20" t="str">
        <x:v>Invalid coordinates or inconsistent CRS.</x:v>
      </x:c>
      <x:c r="E22" s="20" t="str">
        <x:v>Wrong locations/distances and misleading routes.</x:v>
      </x:c>
      <x:c r="F22" s="20" t="n">
        <x:v>3</x:v>
      </x:c>
      <x:c r="G22" s="20" t="n">
        <x:v>4</x:v>
      </x:c>
      <x:c r="H22" s="20" t="n">
        <x:f>F22*G22</x:f>
        <x:v>12</x:v>
      </x:c>
      <x:c r="I22" s="20" t="str">
        <x:f>IF(H22&gt;=20,"Critical",IF(H22&gt;=12,"High",IF(H22&gt;=6,"Medium","Low")))</x:f>
        <x:v>High</x:v>
      </x:c>
      <x:c r="J22" s="20" t="str">
        <x:v>Mahela Yapa</x:v>
      </x:c>
      <x:c r="K22" s="20" t="str">
        <x:v>Standardize CRS and validate collection points.</x:v>
      </x:c>
      <x:c r="L22" s="20" t="str">
        <x:v>Correct invalid points and use verified demo data.</x:v>
      </x:c>
      <x:c r="M22" s="20" t="str">
        <x:v>Open</x:v>
      </x:c>
      <x:c r="N22" s="20" t="str">
        <x:v>2026-10-31</x:v>
      </x:c>
    </x:row>
  </x:sheetData>
  <x:mergeCells>
    <x:mergeCell ref="A1:N1"/>
    <x:mergeCell ref="A2:N2"/>
  </x:mergeCells>
  <x:conditionalFormatting sqref="H5:H22">
    <x:cfRule type="colorScale" priority="1">
      <x:colorScale>
        <x:cfvo type="min"/>
        <x:cfvo type="percentile" val="50"/>
        <x:cfvo type="max"/>
        <x:color rgb="FFC6EFCE"/>
        <x:color rgb="FFFFEB9C"/>
        <x:color rgb="FFFFC7CE"/>
      </x:colorScale>
    </x:cfRule>
  </x:conditionalFormatting>
  <x:conditionalFormatting sqref="I5:I22">
    <x:cfRule type="expression" dxfId="0" priority="2">
      <x:formula>I5="Critical"</x:formula>
    </x:cfRule>
    <x:cfRule type="expression" dxfId="1" priority="3">
      <x:formula>I5="High"</x:formula>
    </x:cfRule>
    <x:cfRule type="expression" dxfId="2" priority="4">
      <x:formula>I5="Medium"</x:formula>
    </x:cfRule>
    <x:cfRule type="expression" dxfId="3" priority="5">
      <x:formula>I5="Low"</x:formula>
    </x:cfRule>
  </x:conditionalFormatting>
  <x:dataValidations count="2">
    <x:dataValidation type="list" sqref="F5:G22">
      <x:formula1>"1,2,3,4,5"</x:formula1>
    </x:dataValidation>
    <x:dataValidation type="list" sqref="M5:M22">
      <x:formula1>"Open,Monitoring,Mitigated,Closed,Accepted"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25db5e6a5974d4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>
      <x:c r="A1" s="4" t="str">
        <x:v>EcoCollect – Risk Summary</x:v>
      </x:c>
      <x:c r="B1" s="4"/>
      <x:c r="C1" s="4"/>
      <x:c r="D1" s="4"/>
      <x:c r="E1" s="4"/>
      <x:c r="F1" s="4"/>
      <x:c r="G1" s="4"/>
      <x:c r="H1" s="4"/>
    </x:row>
    <x:row r="3">
      <x:c r="A3" s="13" t="str">
        <x:v>Risk Level</x:v>
      </x:c>
      <x:c r="B3" s="13" t="str">
        <x:v>Count</x:v>
      </x:c>
      <x:c r="D3" s="13" t="str">
        <x:v>Status</x:v>
      </x:c>
      <x:c r="E3" s="13" t="str">
        <x:v>Count</x:v>
      </x:c>
    </x:row>
    <x:row r="4">
      <x:c r="A4" t="str">
        <x:v>Critical</x:v>
      </x:c>
      <x:c r="B4" t="n">
        <x:f>COUNTIF('Risk Register'!$I$5:$I$22,A4)</x:f>
        <x:v>4</x:v>
      </x:c>
      <x:c r="D4" t="str">
        <x:v>Open</x:v>
      </x:c>
      <x:c r="E4" t="n">
        <x:f>COUNTIF('Risk Register'!$M$5:$M$22,D4)</x:f>
        <x:v>18</x:v>
      </x:c>
    </x:row>
    <x:row r="5">
      <x:c r="A5" t="str">
        <x:v>High</x:v>
      </x:c>
      <x:c r="B5" t="n">
        <x:f>COUNTIF('Risk Register'!$I$5:$I$22,A5)</x:f>
        <x:v>12</x:v>
      </x:c>
      <x:c r="D5" t="str">
        <x:v>Monitoring</x:v>
      </x:c>
      <x:c r="E5" t="n">
        <x:f>COUNTIF('Risk Register'!$M$5:$M$22,D5)</x:f>
        <x:v>0</x:v>
      </x:c>
    </x:row>
    <x:row r="6">
      <x:c r="A6" t="str">
        <x:v>Medium</x:v>
      </x:c>
      <x:c r="B6" t="n">
        <x:f>COUNTIF('Risk Register'!$I$5:$I$22,A6)</x:f>
        <x:v>2</x:v>
      </x:c>
      <x:c r="D6" t="str">
        <x:v>Mitigated</x:v>
      </x:c>
      <x:c r="E6" t="n">
        <x:f>COUNTIF('Risk Register'!$M$5:$M$22,D6)</x:f>
        <x:v>0</x:v>
      </x:c>
    </x:row>
    <x:row r="7">
      <x:c r="A7" t="str">
        <x:v>Low</x:v>
      </x:c>
      <x:c r="B7" t="n">
        <x:f>COUNTIF('Risk Register'!$I$5:$I$22,A7)</x:f>
        <x:v>0</x:v>
      </x:c>
      <x:c r="D7" t="str">
        <x:v>Closed</x:v>
      </x:c>
      <x:c r="E7" t="n">
        <x:f>COUNTIF('Risk Register'!$M$5:$M$22,D7)</x:f>
        <x:v>0</x:v>
      </x:c>
    </x:row>
    <x:row r="8">
      <x:c r="D8" t="str">
        <x:v>Accepted</x:v>
      </x:c>
      <x:c r="E8" t="n">
        <x:f>COUNTIF('Risk Register'!$M$5:$M$22,D8)</x:f>
        <x:v>0</x:v>
      </x:c>
    </x:row>
    <x:row r="10">
      <x:c r="A10" s="13" t="str">
        <x:v>Metric</x:v>
      </x:c>
      <x:c r="B10" s="13" t="str">
        <x:v>Value</x:v>
      </x:c>
    </x:row>
    <x:row r="11">
      <x:c r="A11" t="str">
        <x:v>Total Risks</x:v>
      </x:c>
      <x:c r="B11" t="n">
        <x:f>COUNTA('Risk Register'!A5:A22)</x:f>
        <x:v>18</x:v>
      </x:c>
    </x:row>
    <x:row r="12">
      <x:c r="A12" t="str">
        <x:v>Average Score</x:v>
      </x:c>
      <x:c r="B12" t="n">
        <x:f>AVERAGE('Risk Register'!H5:H22)</x:f>
        <x:v>14.833333333333334</x:v>
      </x:c>
    </x:row>
    <x:row r="13">
      <x:c r="A13" t="str">
        <x:v>Highest Score</x:v>
      </x:c>
      <x:c r="B13" t="n">
        <x:f>MAX('Risk Register'!H5:H22)</x:f>
        <x:v>20</x:v>
      </x:c>
    </x:row>
    <x:row r="14">
      <x:c r="A14" t="str">
        <x:v>Critical + High</x:v>
      </x:c>
      <x:c r="B14" t="n">
        <x:f>B4+B5</x:f>
        <x:v>16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05de5c869e43491e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>
      <x:c r="A1" s="22" t="str">
        <x:v>EcoCollect – Risk Scoring Guide</x:v>
      </x:c>
      <x:c r="B1" s="22" t="str"/>
    </x:row>
    <x:row r="2">
      <x:c r="A2" s="14" t="str">
        <x:v>Likelihood</x:v>
      </x:c>
      <x:c r="B2" s="14" t="str">
        <x:v>Definition</x:v>
      </x:c>
    </x:row>
    <x:row r="3">
      <x:c r="A3" s="20" t="str">
        <x:v>1 – Rare</x:v>
      </x:c>
      <x:c r="B3" s="20" t="str">
        <x:v>Very unlikely during the project.</x:v>
      </x:c>
    </x:row>
    <x:row r="4">
      <x:c r="A4" s="20" t="str">
        <x:v>2 – Unlikely</x:v>
      </x:c>
      <x:c r="B4" s="20" t="str">
        <x:v>Could occur, but not expected.</x:v>
      </x:c>
    </x:row>
    <x:row r="5">
      <x:c r="A5" s="20" t="str">
        <x:v>3 – Possible</x:v>
      </x:c>
      <x:c r="B5" s="20" t="str">
        <x:v>May occur during the project.</x:v>
      </x:c>
    </x:row>
    <x:row r="6">
      <x:c r="A6" s="20" t="str">
        <x:v>4 – Likely</x:v>
      </x:c>
      <x:c r="B6" s="20" t="str">
        <x:v>Expected unless actively managed.</x:v>
      </x:c>
    </x:row>
    <x:row r="7">
      <x:c r="A7" s="20" t="str">
        <x:v>5 – Almost Certain</x:v>
      </x:c>
      <x:c r="B7" s="20" t="str">
        <x:v>Highly likely or already showing warning signs.</x:v>
      </x:c>
    </x:row>
    <x:row r="8">
      <x:c r="A8" s="20" t="str"/>
      <x:c r="B8" s="20" t="str"/>
    </x:row>
    <x:row r="9">
      <x:c r="A9" s="14" t="str">
        <x:v>Impact</x:v>
      </x:c>
      <x:c r="B9" s="14" t="str">
        <x:v>Definition</x:v>
      </x:c>
    </x:row>
    <x:row r="10">
      <x:c r="A10" s="20" t="str">
        <x:v>1 – Insignificant</x:v>
      </x:c>
      <x:c r="B10" s="20" t="str">
        <x:v>Minimal effect; easily corrected.</x:v>
      </x:c>
    </x:row>
    <x:row r="11">
      <x:c r="A11" s="20" t="str">
        <x:v>2 – Minor</x:v>
      </x:c>
      <x:c r="B11" s="20" t="str">
        <x:v>Small delay/rework; core objectives unaffected.</x:v>
      </x:c>
    </x:row>
    <x:row r="12">
      <x:c r="A12" s="20" t="str">
        <x:v>3 – Moderate</x:v>
      </x:c>
      <x:c r="B12" s="20" t="str">
        <x:v>Noticeable schedule/quality impact.</x:v>
      </x:c>
    </x:row>
    <x:row r="13">
      <x:c r="A13" s="20" t="str">
        <x:v>4 – Major</x:v>
      </x:c>
      <x:c r="B13" s="20" t="str">
        <x:v>Threatens a major module, milestone or demo capability.</x:v>
      </x:c>
    </x:row>
    <x:row r="14">
      <x:c r="A14" s="20" t="str">
        <x:v>5 – Severe</x:v>
      </x:c>
      <x:c r="B14" s="20" t="str">
        <x:v>Threatens completion, core objectives or final evaluation.</x:v>
      </x:c>
    </x:row>
    <x:row r="15">
      <x:c r="A15" s="20" t="str"/>
      <x:c r="B15" s="20" t="str"/>
    </x:row>
    <x:row r="16">
      <x:c r="A16" s="14" t="str">
        <x:v>Risk Score</x:v>
      </x:c>
      <x:c r="B16" s="14" t="str">
        <x:v>Level</x:v>
      </x:c>
    </x:row>
    <x:row r="17">
      <x:c r="A17" s="20" t="str">
        <x:v>1–5</x:v>
      </x:c>
      <x:c r="B17" s="20" t="str">
        <x:v>Low</x:v>
      </x:c>
    </x:row>
    <x:row r="18">
      <x:c r="A18" s="20" t="str">
        <x:v>6–11</x:v>
      </x:c>
      <x:c r="B18" s="20" t="str">
        <x:v>Medium</x:v>
      </x:c>
    </x:row>
    <x:row r="19">
      <x:c r="A19" s="20" t="str">
        <x:v>12–19</x:v>
      </x:c>
      <x:c r="B19" s="20" t="str">
        <x:v>High</x:v>
      </x:c>
    </x:row>
    <x:row r="20">
      <x:c r="A20" s="20" t="str">
        <x:v>20–25</x:v>
      </x:c>
      <x:c r="B20" s="20" t="str">
        <x:v>Critical</x:v>
      </x:c>
    </x:row>
    <x:row r="21">
      <x:c r="A21" s="20" t="str"/>
      <x:c r="B21" s="20" t="str"/>
    </x:row>
    <x:row r="22">
      <x:c r="A22" s="20" t="str">
        <x:v>Formula</x:v>
      </x:c>
      <x:c r="B22" s="20" t="str">
        <x:v>Risk Score = Likelihood × Impact</x:v>
      </x:c>
    </x:row>
    <x:row r="23">
      <x:c r="A23" s="20" t="str">
        <x:v>Review Practice</x:v>
      </x:c>
      <x:c r="B23" s="20" t="str">
        <x:v>Review open/high/critical risks during sprint/project reviews and update them when circumstances change.</x:v>
      </x:c>
    </x:row>
  </x:sheetData>
  <x:mergeCells>
    <x:mergeCell ref="A1:B1"/>
  </x:mergeCells>
  <x:pageMargins left="0.7" right="0.7" top="0.75" bottom="0.75" header="0.3" footer="0.3"/>
</x:worksheet>
</file>